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e969ed87431318a/!projects/ChequeMeOut Documentation/"/>
    </mc:Choice>
  </mc:AlternateContent>
  <xr:revisionPtr revIDLastSave="0" documentId="8_{A4D669B6-E3EA-4527-A116-896F6D38131E}" xr6:coauthVersionLast="45" xr6:coauthVersionMax="45" xr10:uidLastSave="{00000000-0000-0000-0000-000000000000}"/>
  <bookViews>
    <workbookView xWindow="17062" yWindow="3292" windowWidth="21601" windowHeight="11423" xr2:uid="{E2FF82F0-361B-4ACF-8B85-B2D7E69D6384}"/>
  </bookViews>
  <sheets>
    <sheet name="Product" sheetId="2" r:id="rId1"/>
    <sheet name="Proces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2" l="1"/>
  <c r="F26" i="1"/>
  <c r="F28" i="1" s="1"/>
  <c r="F31" i="1"/>
  <c r="F33" i="1" s="1"/>
  <c r="F36" i="1"/>
  <c r="F38" i="1" s="1"/>
  <c r="F28" i="2"/>
  <c r="F23" i="2"/>
  <c r="F18" i="2"/>
  <c r="F13" i="2"/>
  <c r="F23" i="1"/>
  <c r="F18" i="1"/>
  <c r="F13" i="1"/>
  <c r="F8" i="1"/>
</calcChain>
</file>

<file path=xl/sharedStrings.xml><?xml version="1.0" encoding="utf-8"?>
<sst xmlns="http://schemas.openxmlformats.org/spreadsheetml/2006/main" count="52" uniqueCount="38">
  <si>
    <t xml:space="preserve">Test Case Preparation Productivity </t>
  </si>
  <si>
    <t>No. of Test cases:</t>
  </si>
  <si>
    <t>Effort spent for Test case preparation (in hours):</t>
  </si>
  <si>
    <t>Test Design Coverage</t>
  </si>
  <si>
    <t>Total number of requirements:</t>
  </si>
  <si>
    <t>Total number of requirements mapped to test cases:</t>
  </si>
  <si>
    <t>Test Execution Productivity</t>
  </si>
  <si>
    <t>No of Test cases executed:</t>
  </si>
  <si>
    <t>Test Execution Coverage</t>
  </si>
  <si>
    <t>Total no. of test cases planned to execute:</t>
  </si>
  <si>
    <t>Total no. of test cases executed:</t>
  </si>
  <si>
    <t>%</t>
  </si>
  <si>
    <t>Test Cases Passed</t>
  </si>
  <si>
    <t>Total no. of test cases passed:</t>
  </si>
  <si>
    <t xml:space="preserve">Test Cases Failed </t>
  </si>
  <si>
    <t>Total no. of test cases failed:</t>
  </si>
  <si>
    <t xml:space="preserve">Test Cases Blocked </t>
  </si>
  <si>
    <t>Total no. of test cases blocked:</t>
  </si>
  <si>
    <t xml:space="preserve">Process Metrics Report </t>
  </si>
  <si>
    <t xml:space="preserve">Product Metrics Report </t>
  </si>
  <si>
    <t>Error Discovery Rate</t>
  </si>
  <si>
    <t>Total number of defects found:</t>
  </si>
  <si>
    <t>Defective Fix Rate</t>
  </si>
  <si>
    <t>Total no of defects reported as fixed:</t>
  </si>
  <si>
    <t>Total no. of defects reopened:</t>
  </si>
  <si>
    <t>Total no. of new Bugs due to fix:</t>
  </si>
  <si>
    <t>Defect Density</t>
  </si>
  <si>
    <t>Total no. of defects identified:</t>
  </si>
  <si>
    <t>Defect Leakage</t>
  </si>
  <si>
    <t>No. of defects found in UAT:</t>
  </si>
  <si>
    <t>No. of Defects found before UAT:</t>
  </si>
  <si>
    <t>Defect Removal Efficiency</t>
  </si>
  <si>
    <t>Total no. of defects found pre-delivery:</t>
  </si>
  <si>
    <t>Total no. of defects found post-delivery:</t>
  </si>
  <si>
    <t>test cases/hour</t>
  </si>
  <si>
    <t>Actual Size (Requirements):</t>
  </si>
  <si>
    <t>Effort spent for execution of test cases (in hours):</t>
  </si>
  <si>
    <t>&lt;Iteration&gt;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</si>
</sst>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41" fontId="0" fillId="0" borderId="0" xfId="0" applyNumberFormat="1"/>
    <xf numFmtId="41" fontId="0" fillId="0" borderId="1" xfId="0" applyNumberFormat="1" applyBorder="1"/>
    <xf numFmtId="41" fontId="1" fillId="0" borderId="0" xfId="0" applyNumberFormat="1" applyFont="1"/>
    <xf numFmtId="0" fontId="2" fillId="0" borderId="0" xfId="0" applyFont="1"/>
    <xf numFmtId="0" fontId="3" fillId="0" borderId="0" xfId="0" applyFont="1"/>
    <xf numFmtId="41" fontId="0" fillId="0" borderId="0" xfId="0" applyNumberFormat="1" applyProtection="1">
      <protection locked="0"/>
    </xf>
    <xf numFmtId="41" fontId="0" fillId="0" borderId="1" xfId="0" applyNumberFormat="1" applyBorder="1" applyProtection="1">
      <protection locked="0"/>
    </xf>
    <xf numFmtId="0" fontId="4" fillId="0" borderId="0" xfId="0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9966"/>
      <color rgb="FF009900"/>
      <color rgb="FF339933"/>
      <color rgb="FFFF99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B1143-F49D-4477-A56A-B07C00524FA0}">
  <dimension ref="A1:G28"/>
  <sheetViews>
    <sheetView tabSelected="1" workbookViewId="0">
      <selection activeCell="A2" sqref="A2"/>
    </sheetView>
  </sheetViews>
  <sheetFormatPr defaultRowHeight="15.75" x14ac:dyDescent="0.5"/>
  <cols>
    <col min="1" max="1" width="9.06640625" style="6"/>
    <col min="5" max="5" width="9.06640625" style="1"/>
    <col min="6" max="6" width="9.06640625" style="3"/>
  </cols>
  <sheetData>
    <row r="1" spans="1:7" ht="28.5" x14ac:dyDescent="0.85">
      <c r="A1" s="7" t="s">
        <v>19</v>
      </c>
    </row>
    <row r="2" spans="1:7" x14ac:dyDescent="0.5">
      <c r="A2" s="10" t="s">
        <v>37</v>
      </c>
    </row>
    <row r="4" spans="1:7" x14ac:dyDescent="0.5">
      <c r="A4" s="6" t="s">
        <v>20</v>
      </c>
    </row>
    <row r="5" spans="1:7" x14ac:dyDescent="0.5">
      <c r="E5" s="1" t="s">
        <v>10</v>
      </c>
      <c r="F5" s="8">
        <v>0</v>
      </c>
    </row>
    <row r="6" spans="1:7" x14ac:dyDescent="0.5">
      <c r="E6" s="1" t="s">
        <v>21</v>
      </c>
      <c r="F6" s="9">
        <v>0</v>
      </c>
    </row>
    <row r="7" spans="1:7" ht="21" x14ac:dyDescent="0.65">
      <c r="F7" s="5">
        <f>IFERROR((F6/F5)*100,0)</f>
        <v>0</v>
      </c>
      <c r="G7" s="2" t="s">
        <v>11</v>
      </c>
    </row>
    <row r="9" spans="1:7" x14ac:dyDescent="0.5">
      <c r="A9" s="6" t="s">
        <v>22</v>
      </c>
    </row>
    <row r="10" spans="1:7" x14ac:dyDescent="0.5">
      <c r="E10" s="1" t="s">
        <v>23</v>
      </c>
      <c r="F10" s="8">
        <v>0</v>
      </c>
    </row>
    <row r="11" spans="1:7" x14ac:dyDescent="0.5">
      <c r="E11" s="1" t="s">
        <v>24</v>
      </c>
      <c r="F11" s="8">
        <v>0</v>
      </c>
    </row>
    <row r="12" spans="1:7" x14ac:dyDescent="0.5">
      <c r="E12" s="1" t="s">
        <v>25</v>
      </c>
      <c r="F12" s="9">
        <v>0</v>
      </c>
    </row>
    <row r="13" spans="1:7" ht="21" x14ac:dyDescent="0.65">
      <c r="F13" s="5">
        <f>IFERROR(((F10-F11)/(F10+F12))*100,0)</f>
        <v>0</v>
      </c>
      <c r="G13" s="2" t="s">
        <v>11</v>
      </c>
    </row>
    <row r="15" spans="1:7" x14ac:dyDescent="0.5">
      <c r="A15" s="6" t="s">
        <v>26</v>
      </c>
    </row>
    <row r="16" spans="1:7" x14ac:dyDescent="0.5">
      <c r="E16" s="1" t="s">
        <v>27</v>
      </c>
      <c r="F16" s="8">
        <v>0</v>
      </c>
    </row>
    <row r="17" spans="1:7" x14ac:dyDescent="0.5">
      <c r="E17" s="1" t="s">
        <v>35</v>
      </c>
      <c r="F17" s="9">
        <v>0</v>
      </c>
    </row>
    <row r="18" spans="1:7" ht="21" x14ac:dyDescent="0.65">
      <c r="F18" s="5">
        <f>IFERROR(F16/F17,0)</f>
        <v>0</v>
      </c>
      <c r="G18" s="2"/>
    </row>
    <row r="20" spans="1:7" x14ac:dyDescent="0.5">
      <c r="A20" s="6" t="s">
        <v>28</v>
      </c>
    </row>
    <row r="21" spans="1:7" x14ac:dyDescent="0.5">
      <c r="E21" s="1" t="s">
        <v>29</v>
      </c>
      <c r="F21" s="8">
        <v>0</v>
      </c>
    </row>
    <row r="22" spans="1:7" x14ac:dyDescent="0.5">
      <c r="E22" s="1" t="s">
        <v>30</v>
      </c>
      <c r="F22" s="9">
        <v>0</v>
      </c>
    </row>
    <row r="23" spans="1:7" ht="21" x14ac:dyDescent="0.65">
      <c r="F23" s="5">
        <f>IFERROR((F21/F22)*100,0)</f>
        <v>0</v>
      </c>
      <c r="G23" s="2" t="s">
        <v>11</v>
      </c>
    </row>
    <row r="25" spans="1:7" x14ac:dyDescent="0.5">
      <c r="A25" s="6" t="s">
        <v>31</v>
      </c>
    </row>
    <row r="26" spans="1:7" x14ac:dyDescent="0.5">
      <c r="E26" s="1" t="s">
        <v>32</v>
      </c>
      <c r="F26" s="8">
        <v>0</v>
      </c>
    </row>
    <row r="27" spans="1:7" x14ac:dyDescent="0.5">
      <c r="E27" s="1" t="s">
        <v>33</v>
      </c>
      <c r="F27" s="9">
        <v>0</v>
      </c>
    </row>
    <row r="28" spans="1:7" ht="21" x14ac:dyDescent="0.65">
      <c r="F28" s="5">
        <f>IFERROR((F26/(F26+F27))*100,0)</f>
        <v>0</v>
      </c>
      <c r="G28" s="2" t="s">
        <v>11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1EABB-9DA9-45B5-8649-A6478094CEC7}">
  <dimension ref="A1:G38"/>
  <sheetViews>
    <sheetView workbookViewId="0">
      <selection activeCell="A2" sqref="A2"/>
    </sheetView>
  </sheetViews>
  <sheetFormatPr defaultRowHeight="15.75" x14ac:dyDescent="0.5"/>
  <cols>
    <col min="1" max="1" width="9.06640625" style="6"/>
    <col min="5" max="5" width="9.06640625" style="1"/>
    <col min="6" max="6" width="9.06640625" style="3"/>
  </cols>
  <sheetData>
    <row r="1" spans="1:7" ht="28.5" x14ac:dyDescent="0.85">
      <c r="A1" s="7" t="s">
        <v>18</v>
      </c>
    </row>
    <row r="2" spans="1:7" x14ac:dyDescent="0.5">
      <c r="A2" s="10" t="s">
        <v>37</v>
      </c>
    </row>
    <row r="4" spans="1:7" x14ac:dyDescent="0.5">
      <c r="A4" s="6" t="s">
        <v>0</v>
      </c>
    </row>
    <row r="6" spans="1:7" x14ac:dyDescent="0.5">
      <c r="E6" s="1" t="s">
        <v>1</v>
      </c>
      <c r="F6" s="8">
        <v>0</v>
      </c>
    </row>
    <row r="7" spans="1:7" x14ac:dyDescent="0.5">
      <c r="E7" s="1" t="s">
        <v>2</v>
      </c>
      <c r="F7" s="9">
        <v>0</v>
      </c>
    </row>
    <row r="8" spans="1:7" ht="21" x14ac:dyDescent="0.65">
      <c r="F8" s="5">
        <f>IFERROR(F6/F7,0)</f>
        <v>0</v>
      </c>
      <c r="G8" s="2" t="s">
        <v>34</v>
      </c>
    </row>
    <row r="10" spans="1:7" x14ac:dyDescent="0.5">
      <c r="A10" s="6" t="s">
        <v>3</v>
      </c>
    </row>
    <row r="11" spans="1:7" x14ac:dyDescent="0.5">
      <c r="E11" s="1" t="s">
        <v>4</v>
      </c>
      <c r="F11" s="8">
        <v>0</v>
      </c>
    </row>
    <row r="12" spans="1:7" x14ac:dyDescent="0.5">
      <c r="E12" s="1" t="s">
        <v>5</v>
      </c>
      <c r="F12" s="9">
        <v>0</v>
      </c>
    </row>
    <row r="13" spans="1:7" ht="21" x14ac:dyDescent="0.65">
      <c r="F13" s="5">
        <f>IFERROR((F12/F11)*100,0)</f>
        <v>0</v>
      </c>
      <c r="G13" s="2" t="s">
        <v>11</v>
      </c>
    </row>
    <row r="15" spans="1:7" x14ac:dyDescent="0.5">
      <c r="A15" s="6" t="s">
        <v>6</v>
      </c>
    </row>
    <row r="16" spans="1:7" x14ac:dyDescent="0.5">
      <c r="E16" s="1" t="s">
        <v>7</v>
      </c>
      <c r="F16" s="8">
        <v>0</v>
      </c>
    </row>
    <row r="17" spans="1:7" x14ac:dyDescent="0.5">
      <c r="E17" s="1" t="s">
        <v>36</v>
      </c>
      <c r="F17" s="9">
        <v>0</v>
      </c>
    </row>
    <row r="18" spans="1:7" ht="21" x14ac:dyDescent="0.65">
      <c r="F18" s="5">
        <f>IFERROR(F16/F17,0)</f>
        <v>0</v>
      </c>
      <c r="G18" s="2" t="s">
        <v>34</v>
      </c>
    </row>
    <row r="20" spans="1:7" x14ac:dyDescent="0.5">
      <c r="A20" s="6" t="s">
        <v>8</v>
      </c>
    </row>
    <row r="21" spans="1:7" x14ac:dyDescent="0.5">
      <c r="E21" s="1" t="s">
        <v>9</v>
      </c>
      <c r="F21" s="8">
        <v>0</v>
      </c>
    </row>
    <row r="22" spans="1:7" x14ac:dyDescent="0.5">
      <c r="E22" s="1" t="s">
        <v>10</v>
      </c>
      <c r="F22" s="9">
        <v>0</v>
      </c>
    </row>
    <row r="23" spans="1:7" ht="21" x14ac:dyDescent="0.65">
      <c r="F23" s="5">
        <f>IFERROR((F22/F21)*100,0)</f>
        <v>0</v>
      </c>
      <c r="G23" s="2" t="s">
        <v>11</v>
      </c>
    </row>
    <row r="25" spans="1:7" x14ac:dyDescent="0.5">
      <c r="A25" s="6" t="s">
        <v>12</v>
      </c>
    </row>
    <row r="26" spans="1:7" x14ac:dyDescent="0.5">
      <c r="E26" s="1" t="s">
        <v>7</v>
      </c>
      <c r="F26" s="8">
        <f>F16</f>
        <v>0</v>
      </c>
    </row>
    <row r="27" spans="1:7" x14ac:dyDescent="0.5">
      <c r="E27" s="1" t="s">
        <v>13</v>
      </c>
      <c r="F27" s="9">
        <v>0</v>
      </c>
    </row>
    <row r="28" spans="1:7" ht="21" x14ac:dyDescent="0.65">
      <c r="F28" s="5">
        <f>IFERROR((F27/F26)*100,0)</f>
        <v>0</v>
      </c>
      <c r="G28" s="2" t="s">
        <v>11</v>
      </c>
    </row>
    <row r="30" spans="1:7" x14ac:dyDescent="0.5">
      <c r="A30" s="6" t="s">
        <v>14</v>
      </c>
    </row>
    <row r="31" spans="1:7" x14ac:dyDescent="0.5">
      <c r="E31" s="1" t="s">
        <v>7</v>
      </c>
      <c r="F31" s="8">
        <f>F16</f>
        <v>0</v>
      </c>
    </row>
    <row r="32" spans="1:7" x14ac:dyDescent="0.5">
      <c r="E32" s="1" t="s">
        <v>15</v>
      </c>
      <c r="F32" s="9">
        <v>0</v>
      </c>
    </row>
    <row r="33" spans="1:7" ht="21" x14ac:dyDescent="0.65">
      <c r="F33" s="5">
        <f>IFERROR((F32/F31)*100,0)</f>
        <v>0</v>
      </c>
      <c r="G33" s="2" t="s">
        <v>11</v>
      </c>
    </row>
    <row r="35" spans="1:7" x14ac:dyDescent="0.5">
      <c r="A35" s="6" t="s">
        <v>16</v>
      </c>
    </row>
    <row r="36" spans="1:7" x14ac:dyDescent="0.5">
      <c r="E36" s="1" t="s">
        <v>7</v>
      </c>
      <c r="F36" s="3">
        <f>F16</f>
        <v>0</v>
      </c>
    </row>
    <row r="37" spans="1:7" x14ac:dyDescent="0.5">
      <c r="E37" s="1" t="s">
        <v>17</v>
      </c>
      <c r="F37" s="4">
        <v>0</v>
      </c>
    </row>
    <row r="38" spans="1:7" ht="21" x14ac:dyDescent="0.65">
      <c r="F38" s="5">
        <f>IFERROR((F37/F36)*100,0)</f>
        <v>0</v>
      </c>
      <c r="G38" s="2" t="s">
        <v>11</v>
      </c>
    </row>
  </sheetData>
  <sheetProtection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</vt:lpstr>
      <vt:lpstr>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Kriston Sanders</dc:creator>
  <cp:lastModifiedBy>Kriston Sanders</cp:lastModifiedBy>
  <cp:lastPrinted>2020-06-10T18:11:00Z</cp:lastPrinted>
  <dcterms:created xsi:type="dcterms:W3CDTF">2020-06-09T20:48:01Z</dcterms:created>
  <dcterms:modified xsi:type="dcterms:W3CDTF">2020-06-10T18:14:01Z</dcterms:modified>
</cp:coreProperties>
</file>